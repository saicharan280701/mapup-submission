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16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ra\OneDrive\Desktop\mapup submission\"/>
    </mc:Choice>
  </mc:AlternateContent>
  <xr:revisionPtr revIDLastSave="0" documentId="13_ncr:1_{4737904B-7D3D-4AE7-BD93-D1804E25AF00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3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E23" i="23" l="1"/>
  <c r="F35" i="23"/>
  <c r="D35" i="23"/>
  <c r="I34" i="23"/>
  <c r="E35" i="23" s="1"/>
  <c r="C35" i="23" s="1"/>
  <c r="F34" i="23"/>
  <c r="D34" i="23"/>
  <c r="I33" i="23"/>
  <c r="E34" i="23" s="1"/>
  <c r="C34" i="23" s="1"/>
  <c r="D33" i="23"/>
  <c r="F33" i="23" s="1"/>
  <c r="I32" i="23"/>
  <c r="E33" i="23" s="1"/>
  <c r="D32" i="23"/>
  <c r="F32" i="23" s="1"/>
  <c r="I31" i="23"/>
  <c r="E32" i="23" s="1"/>
  <c r="D31" i="23"/>
  <c r="F31" i="23" s="1"/>
  <c r="I30" i="23"/>
  <c r="E31" i="23" s="1"/>
  <c r="F30" i="23"/>
  <c r="D30" i="23"/>
  <c r="I29" i="23"/>
  <c r="E30" i="23" s="1"/>
  <c r="C30" i="23" s="1"/>
  <c r="E29" i="23"/>
  <c r="D29" i="23"/>
  <c r="F29" i="23" s="1"/>
  <c r="C29" i="23" s="1"/>
  <c r="I28" i="23"/>
  <c r="D28" i="23"/>
  <c r="F28" i="23" s="1"/>
  <c r="I27" i="23"/>
  <c r="E28" i="23" s="1"/>
  <c r="F27" i="23"/>
  <c r="E27" i="23"/>
  <c r="C27" i="23" s="1"/>
  <c r="D27" i="23"/>
  <c r="I26" i="23"/>
  <c r="D26" i="23"/>
  <c r="F26" i="23" s="1"/>
  <c r="I25" i="23"/>
  <c r="E26" i="23" s="1"/>
  <c r="C26" i="23" s="1"/>
  <c r="D25" i="23"/>
  <c r="F25" i="23" s="1"/>
  <c r="I24" i="23"/>
  <c r="E25" i="23" s="1"/>
  <c r="E24" i="23"/>
  <c r="D24" i="23"/>
  <c r="F24" i="23" s="1"/>
  <c r="I23" i="23"/>
  <c r="D23" i="23"/>
  <c r="F23" i="23" s="1"/>
  <c r="I22" i="23"/>
  <c r="C23" i="23" l="1"/>
  <c r="C33" i="23"/>
  <c r="C24" i="23"/>
  <c r="C25" i="23"/>
  <c r="C28" i="23"/>
  <c r="C31" i="23"/>
  <c r="C32" i="23"/>
  <c r="C22" i="19"/>
  <c r="C21" i="19"/>
  <c r="C19" i="19"/>
  <c r="C15" i="19"/>
  <c r="C13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<sst xmlns="http://schemas.openxmlformats.org/spreadsheetml/2006/main" count="327" uniqueCount="182">
  <si>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</si>
  <si>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</si>
  <si>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</si>
  <si>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</si>
  <si>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</si>
  <si>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</si>
  <si>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</si>
  <si>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</si>
  <si>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</si>
  <si>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</si>
  <si>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</si>
  <si>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</si>
  <si>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</si>
  <si>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</si>
  <si>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</si>
  <si>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</si>
  <si>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</si>
  <si>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</si>
  <si>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</si>
  <si>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</si>
  <si>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</si>
  <si>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</si>
  <si>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</si>
  <si>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</si>
  <si>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</si>
  <si>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</si>
  <si>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</si>
  <si>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</si>
  <si>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</si>
  <si>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</si>
  <si>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</si>
  <si>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</si>
  <si>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</si>
  <si>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</si>
  <si>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</si>
  <si>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</si>
  <si>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</si>
  <si>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</si>
  <si>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</si>
  <si>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</si>
  <si>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</si>
  <si>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</si>
  <si>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</si>
  <si>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</si>
  <si>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</si>
  <si>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</si>
  <si>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</si>
  <si>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</si>
  <si>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</si>
  <si>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</si>
  <si>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</si>
  <si>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</si>
  <si>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</si>
  <si>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</si>
  <si>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</si>
  <si>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</si>
  <si>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</si>
  <si>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</si>
  <si>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</si>
  <si>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</si>
  <si>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</si>
  <si>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</si>
  <si>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</si>
  <si>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</si>
  <si>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</si>
  <si>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</si>
  <si>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</si>
  <si>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</si>
  <si>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</si>
  <si>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</si>
  <si>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</si>
  <si>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</si>
  <si>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</si>
  <si>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</si>
  <si>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</si>
  <si>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</si>
  <si>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</si>
  <si>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</si>
  <si>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</si>
  <si>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</si>
  <si>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</si>
  <si>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</si>
  <si>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</si>
  <si>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</si>
  <si>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</si>
  <si>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</si>
  <si>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</si>
  <si>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</si>
  <si>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</si>
  <si>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</si>
  <si>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</si>
  <si>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</si>
  <si>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</si>
  <si>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</si>
  <si>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</si>
  <si>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</si>
  <si>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</si>
  <si>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</si>
  <si>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</si>
  <si>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</si>
  <si>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</si>
  <si>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</si>
  <si>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</si>
  <si>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</si>
  <si>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</si>
  <si>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</si>
  <si>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</si>
  <si>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</si>
  <si>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</si>
  <si>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</si>
  <si>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</si>
  <si>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</si>
  <si>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</si>
  <si>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</si>
  <si>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</si>
  <si>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</si>
  <si>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</si>
  <si>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</si>
  <si>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</si>
  <si>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</si>
  <si>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</si>
  <si>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</si>
  <si>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</si>
  <si>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</si>
  <si>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</si>
  <si>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</si>
  <si>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</si>
  <si>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</si>
  <si>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</si>
  <si>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</si>
  <si>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</si>
  <si>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</si>
  <si>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</si>
  <si>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</si>
  <si>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</si>
  <si>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</si>
  <si>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</si>
  <si>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</si>
  <si>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</si>
  <si>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</si>
  <si>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</si>
  <si>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</si>
  <si>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</si>
  <si>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</si>
  <si>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</si>
  <si>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</si>
  <si>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</si>
  <si>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</si>
  <si>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</si>
  <si>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</si>
  <si>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</si>
  <si>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</si>
  <si>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</si>
  <si>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</si>
  <si>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</si>
  <si>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</si>
  <si>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</si>
  <si>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</si>
  <si>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</si>
  <si>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</si>
  <si>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</si>
  <si>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</si>
  <si>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</si>
  <si>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</si>
  <si>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</si>
  <si>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</si>
  <si>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</si>
  <si>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</si>
  <si>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</si>
  <si>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</si>
  <si>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</si>
  <si>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</si>
  <si>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</si>
  <si>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</si>
  <si>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</si>
  <si>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</si>
  <si>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</si>
  <si>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left,mid,find,right.</t>
  </si>
  <si>
    <t>I used formulae like mid,right,left,mid you can refer table to get more details/</t>
  </si>
  <si>
    <t>sum function</t>
  </si>
  <si>
    <t>first I substite the N/A with 20 then later I count sum of all sales</t>
  </si>
  <si>
    <t>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</si>
</sst>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11" xfId="0" applyFont="1" applyBorder="1"/>
    <xf numFmtId="0" fontId="8" fillId="0" borderId="7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4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D1" zoomScaleNormal="100" workbookViewId="0">
      <pane ySplit="1" topLeftCell="A17" activePane="bottomLeft" state="frozen"/>
      <selection pane="bottomLeft" activeCell="L43" sqref="L4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3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2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B11" sqref="B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>
        <f>SUMIF(Dataset!H14:H40,"&gt;20")</f>
        <v>1389.3000000000002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3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>VLOOKUP(A6,Dataset!A2:X40,7,0)</f>
        <v>2.7</v>
      </c>
      <c r="C6" s="11">
        <f>VLOOKUP(A6,Dataset!A1:X40,14,0)</f>
        <v>7.6</v>
      </c>
      <c r="D6" s="11">
        <f>VLOOKUP(A6,Dataset!A2:X40,18,0)</f>
        <v>4.2</v>
      </c>
      <c r="E6" s="11">
        <f>VLOOKUP(A6,Dataset!A2:X40,20,0)</f>
        <v>8.9</v>
      </c>
      <c r="F6" s="8">
        <f>VLOOKUP(A6,Dataset!A2:X40,22,0)</f>
        <v>4.2</v>
      </c>
    </row>
    <row r="7" spans="1:7" ht="14.4" x14ac:dyDescent="0.3">
      <c r="A7" s="7" t="s">
        <v>4</v>
      </c>
      <c r="B7" s="11">
        <f>VLOOKUP(A7,Dataset!A3:X41,7,0)</f>
        <v>2.7</v>
      </c>
      <c r="C7" s="11">
        <f>VLOOKUP(A7,Dataset!A2:X41,14,0)</f>
        <v>7.6</v>
      </c>
      <c r="D7" s="11">
        <f>VLOOKUP(A7,Dataset!A3:X41,18,0)</f>
        <v>4.2</v>
      </c>
      <c r="E7" s="11">
        <f>VLOOKUP(A7,Dataset!A3:X41,20,0)</f>
        <v>8.9</v>
      </c>
      <c r="F7" s="8">
        <f>VLOOKUP(A7,Dataset!A3:X41,22,0)</f>
        <v>4.2</v>
      </c>
    </row>
    <row r="8" spans="1:7" ht="14.4" x14ac:dyDescent="0.3">
      <c r="A8" s="7" t="s">
        <v>7</v>
      </c>
      <c r="B8" s="11">
        <f>VLOOKUP(A8,Dataset!A4:X42,7,0)</f>
        <v>3.6</v>
      </c>
      <c r="C8" s="11">
        <f>VLOOKUP(A8,Dataset!A3:X42,14,0)</f>
        <v>11.1</v>
      </c>
      <c r="D8" s="11">
        <f>VLOOKUP(A8,Dataset!A4:X42,18,0)</f>
        <v>5.8</v>
      </c>
      <c r="E8" s="11">
        <f>VLOOKUP(A8,Dataset!A4:X42,20,0)</f>
        <v>12.2</v>
      </c>
      <c r="F8" s="8">
        <f>VLOOKUP(A8,Dataset!A4:X42,22,0)</f>
        <v>5.8</v>
      </c>
    </row>
    <row r="9" spans="1:7" ht="14.4" x14ac:dyDescent="0.3">
      <c r="A9" s="7" t="s">
        <v>8</v>
      </c>
      <c r="B9" s="11">
        <f>VLOOKUP(A9,Dataset!A5:X43,7,0)</f>
        <v>4.9000000000000004</v>
      </c>
      <c r="C9" s="11">
        <f>VLOOKUP(A9,Dataset!A4:X43,14,0)</f>
        <v>13.3</v>
      </c>
      <c r="D9" s="11">
        <f>VLOOKUP(A9,Dataset!A5:X43,18,0)</f>
        <v>8.1</v>
      </c>
      <c r="E9" s="11">
        <f>VLOOKUP(A9,Dataset!A5:X43,20,0)</f>
        <v>17</v>
      </c>
      <c r="F9" s="8">
        <f>VLOOKUP(A9,Dataset!A5:X43,22,0)</f>
        <v>8.1</v>
      </c>
    </row>
    <row r="10" spans="1:7" ht="14.4" x14ac:dyDescent="0.3">
      <c r="A10" s="7" t="s">
        <v>11</v>
      </c>
      <c r="B10" s="11">
        <f>VLOOKUP(A10,Dataset!A6:X44,7,0)</f>
        <v>9.4</v>
      </c>
      <c r="C10" s="11">
        <f>VLOOKUP(A10,Dataset!A5:X44,14,0)</f>
        <v>28.3</v>
      </c>
      <c r="D10" s="11">
        <f>VLOOKUP(A10,Dataset!A6:X44,18,0)</f>
        <v>16.100000000000001</v>
      </c>
      <c r="E10" s="11">
        <f>VLOOKUP(A10,Dataset!A6:X44,20,0)</f>
        <v>32.799999999999997</v>
      </c>
      <c r="F10" s="8">
        <f>VLOOKUP(A10,Dataset!A6:X44,22,0)</f>
        <v>16.100000000000001</v>
      </c>
    </row>
    <row r="11" spans="1:7" ht="14.4" x14ac:dyDescent="0.3">
      <c r="A11" s="7" t="s">
        <v>12</v>
      </c>
      <c r="B11" s="11">
        <f>VLOOKUP(A11,Dataset!A7:X45,7,0)</f>
        <v>11.6</v>
      </c>
      <c r="C11" s="11">
        <f>VLOOKUP(A11,Dataset!A6:X45,14,0)</f>
        <v>35.200000000000003</v>
      </c>
      <c r="D11" s="11">
        <f>VLOOKUP(A11,Dataset!A7:X45,18,0)</f>
        <v>21.3</v>
      </c>
      <c r="E11" s="11">
        <f>VLOOKUP(A11,Dataset!A7:X45,20,0)</f>
        <v>43</v>
      </c>
      <c r="F11" s="8">
        <f>VLOOKUP(A11,Dataset!A7:X45,22,0)</f>
        <v>21.3</v>
      </c>
    </row>
    <row r="12" spans="1:7" ht="14.4" x14ac:dyDescent="0.3">
      <c r="A12" s="7" t="s">
        <v>14</v>
      </c>
      <c r="B12" s="11">
        <f>VLOOKUP(A12,Dataset!A8:X46,7,0)</f>
        <v>18.399999999999999</v>
      </c>
      <c r="C12" s="11">
        <f>VLOOKUP(A12,Dataset!A7:X46,14,0)</f>
        <v>55.6</v>
      </c>
      <c r="D12" s="11">
        <f>VLOOKUP(A12,Dataset!A8:X46,18,0)</f>
        <v>33.799999999999997</v>
      </c>
      <c r="E12" s="11">
        <f>VLOOKUP(A12,Dataset!A8:X46,20,0)</f>
        <v>67.900000000000006</v>
      </c>
      <c r="F12" s="8">
        <f>VLOOKUP(A12,Dataset!A8:X46,22,0)</f>
        <v>33.799999999999997</v>
      </c>
    </row>
    <row r="13" spans="1:7" ht="14.4" x14ac:dyDescent="0.3">
      <c r="A13" s="7" t="s">
        <v>15</v>
      </c>
      <c r="B13" s="11">
        <f>VLOOKUP(A13,Dataset!A9:X47,7,0)</f>
        <v>0</v>
      </c>
      <c r="C13" s="11">
        <f>VLOOKUP(A13,Dataset!A8:X47,14,0)</f>
        <v>0</v>
      </c>
      <c r="D13" s="11">
        <f>VLOOKUP(A13,Dataset!A9:X47,18,0)</f>
        <v>0</v>
      </c>
      <c r="E13" s="11">
        <f>VLOOKUP(A13,Dataset!A9:X47,20,0)</f>
        <v>0</v>
      </c>
      <c r="F13" s="8">
        <f>VLOOKUP(A13,Dataset!A9:X47,22,0)</f>
        <v>0</v>
      </c>
    </row>
    <row r="14" spans="1:7" ht="14.4" x14ac:dyDescent="0.3">
      <c r="A14" s="7" t="s">
        <v>16</v>
      </c>
      <c r="B14" s="11">
        <f>VLOOKUP(A14,Dataset!A10:X48,7,0)</f>
        <v>21.9</v>
      </c>
      <c r="C14" s="11">
        <f>VLOOKUP(A14,Dataset!A9:X48,14,0)</f>
        <v>61.5</v>
      </c>
      <c r="D14" s="11">
        <f>VLOOKUP(A14,Dataset!A10:X48,18,0)</f>
        <v>40.1</v>
      </c>
      <c r="E14" s="11">
        <f>VLOOKUP(A14,Dataset!A10:X48,20,0)</f>
        <v>76.599999999999994</v>
      </c>
      <c r="F14" s="8">
        <f>VLOOKUP(A14,Dataset!A10:X48,22,0)</f>
        <v>40.1</v>
      </c>
    </row>
    <row r="15" spans="1:7" ht="14.4" x14ac:dyDescent="0.3">
      <c r="A15" s="7" t="s">
        <v>18</v>
      </c>
      <c r="B15" s="11">
        <f>VLOOKUP(A15,Dataset!A11:X49,7,0)</f>
        <v>26.8</v>
      </c>
      <c r="C15" s="11">
        <f>VLOOKUP(A15,Dataset!A10:X49,14,0)</f>
        <v>79.599999999999994</v>
      </c>
      <c r="D15" s="11">
        <f>VLOOKUP(A15,Dataset!A11:X49,18,0)</f>
        <v>47.9</v>
      </c>
      <c r="E15" s="11">
        <f>VLOOKUP(A15,Dataset!A11:X49,20,0)</f>
        <v>96.8</v>
      </c>
      <c r="F15" s="8">
        <f>VLOOKUP(A15,Dataset!A11:X49,22,0)</f>
        <v>47.9</v>
      </c>
    </row>
    <row r="16" spans="1:7" ht="14.4" x14ac:dyDescent="0.3">
      <c r="A16" s="7" t="s">
        <v>20</v>
      </c>
      <c r="B16" s="11">
        <f>VLOOKUP(A16,Dataset!A12:X50,7,0)</f>
        <v>28.5</v>
      </c>
      <c r="C16" s="11">
        <f>VLOOKUP(A16,Dataset!A11:X50,14,0)</f>
        <v>85.4</v>
      </c>
      <c r="D16" s="11">
        <f>VLOOKUP(A16,Dataset!A12:X50,18,0)</f>
        <v>52.3</v>
      </c>
      <c r="E16" s="11">
        <f>VLOOKUP(A16,Dataset!A12:X50,20,0)</f>
        <v>106.1</v>
      </c>
      <c r="F16" s="8">
        <f>VLOOKUP(A16,Dataset!A12:X50,22,0)</f>
        <v>52.3</v>
      </c>
    </row>
    <row r="17" spans="1:6" ht="14.4" x14ac:dyDescent="0.3">
      <c r="A17" s="7" t="s">
        <v>22</v>
      </c>
      <c r="B17" s="11">
        <f>VLOOKUP(A17,Dataset!A13:X51,7,0)</f>
        <v>30.7</v>
      </c>
      <c r="C17" s="11">
        <f>VLOOKUP(A17,Dataset!A12:X51,14,0)</f>
        <v>92.1</v>
      </c>
      <c r="D17" s="11">
        <f>VLOOKUP(A17,Dataset!A13:X51,18,0)</f>
        <v>57</v>
      </c>
      <c r="E17" s="11">
        <f>VLOOKUP(A17,Dataset!A13:X51,20,0)</f>
        <v>115.1</v>
      </c>
      <c r="F17" s="8">
        <f>VLOOKUP(A17,Dataset!A13:X51,22,0)</f>
        <v>57</v>
      </c>
    </row>
    <row r="18" spans="1:6" ht="14.4" x14ac:dyDescent="0.3">
      <c r="A18" s="7" t="s">
        <v>23</v>
      </c>
      <c r="B18" s="11">
        <f>VLOOKUP(A18,Dataset!A14:X52,7,0)</f>
        <v>33.799999999999997</v>
      </c>
      <c r="C18" s="11">
        <f>VLOOKUP(A18,Dataset!A13:X52,14,0)</f>
        <v>101.3</v>
      </c>
      <c r="D18" s="11">
        <f>VLOOKUP(A18,Dataset!A14:X52,18,0)</f>
        <v>61.4</v>
      </c>
      <c r="E18" s="11">
        <f>VLOOKUP(A18,Dataset!A14:X52,20,0)</f>
        <v>124.4</v>
      </c>
      <c r="F18" s="8">
        <f>VLOOKUP(A18,Dataset!A14:X52,22,0)</f>
        <v>61.4</v>
      </c>
    </row>
    <row r="19" spans="1:6" ht="14.4" x14ac:dyDescent="0.3">
      <c r="A19" s="7" t="s">
        <v>24</v>
      </c>
      <c r="B19" s="11">
        <f>VLOOKUP(A19,Dataset!A15:X53,7,0)</f>
        <v>34.700000000000003</v>
      </c>
      <c r="C19" s="11">
        <f>VLOOKUP(A19,Dataset!A14:X53,14,0)</f>
        <v>106.1</v>
      </c>
      <c r="D19" s="11">
        <f>VLOOKUP(A19,Dataset!A15:X53,18,0)</f>
        <v>63.6</v>
      </c>
      <c r="E19" s="11">
        <f>VLOOKUP(A19,Dataset!A15:X53,20,0)</f>
        <v>128.6</v>
      </c>
      <c r="F19" s="8">
        <f>VLOOKUP(A19,Dataset!A15:X53,22,0)</f>
        <v>63.6</v>
      </c>
    </row>
    <row r="20" spans="1:6" ht="14.4" x14ac:dyDescent="0.3">
      <c r="A20" s="7" t="s">
        <v>28</v>
      </c>
      <c r="B20" s="11">
        <f>VLOOKUP(A20,Dataset!A16:X54,7,0)</f>
        <v>0</v>
      </c>
      <c r="C20" s="11">
        <f>VLOOKUP(A20,Dataset!A15:X54,14,0)</f>
        <v>0</v>
      </c>
      <c r="D20" s="11">
        <f>VLOOKUP(A20,Dataset!A16:X54,18,0)</f>
        <v>0</v>
      </c>
      <c r="E20" s="11">
        <f>VLOOKUP(A20,Dataset!A16:X54,20,0)</f>
        <v>0</v>
      </c>
      <c r="F20" s="8">
        <f>VLOOKUP(A20,Dataset!A16:X54,22,0)</f>
        <v>0</v>
      </c>
    </row>
    <row r="21" spans="1:6" ht="14.4" x14ac:dyDescent="0.3">
      <c r="A21" s="7" t="s">
        <v>57</v>
      </c>
      <c r="B21" s="11">
        <f>VLOOKUP(A21,Dataset!A17:X55,7,0)</f>
        <v>41.3</v>
      </c>
      <c r="C21" s="11">
        <f>VLOOKUP(A21,Dataset!A16:X55,14,0)</f>
        <v>124.4</v>
      </c>
      <c r="D21" s="11">
        <f>VLOOKUP(A21,Dataset!A17:X55,18,0)</f>
        <v>75</v>
      </c>
      <c r="E21" s="11">
        <f>VLOOKUP(A21,Dataset!A17:X55,20,0)</f>
        <v>151.5</v>
      </c>
      <c r="F21" s="8">
        <f>VLOOKUP(A21,Dataset!A17:X55,22,0)</f>
        <v>75</v>
      </c>
    </row>
    <row r="22" spans="1:6" ht="14.4" x14ac:dyDescent="0.3">
      <c r="A22" s="7" t="s">
        <v>58</v>
      </c>
      <c r="B22" s="11">
        <f>VLOOKUP(A22,Dataset!A18:X56,7,0)</f>
        <v>-1</v>
      </c>
      <c r="C22" s="11">
        <f>VLOOKUP(A22,Dataset!A17:X56,14,0)</f>
        <v>-1</v>
      </c>
      <c r="D22" s="11">
        <f>VLOOKUP(A22,Dataset!A18:X56,18,0)</f>
        <v>-1</v>
      </c>
      <c r="E22" s="11">
        <f>VLOOKUP(A22,Dataset!A18:X56,20,0)</f>
        <v>-1</v>
      </c>
      <c r="F22" s="8">
        <f>VLOOKUP(A22,Dataset!A18:X56,22,0)</f>
        <v>-1</v>
      </c>
    </row>
    <row r="23" spans="1:6" ht="14.4" x14ac:dyDescent="0.3">
      <c r="A23" s="7" t="s">
        <v>31</v>
      </c>
      <c r="B23" s="11">
        <f>VLOOKUP(A23,Dataset!A19:X57,7,0)</f>
        <v>45</v>
      </c>
      <c r="C23" s="11">
        <f>VLOOKUP(A23,Dataset!A18:X57,14,0)</f>
        <v>133.4</v>
      </c>
      <c r="D23" s="11">
        <f>VLOOKUP(A23,Dataset!A19:X57,18,0)</f>
        <v>79.400000000000006</v>
      </c>
      <c r="E23" s="11">
        <f>VLOOKUP(A23,Dataset!A19:X57,20,0)</f>
        <v>160.9</v>
      </c>
      <c r="F23" s="8">
        <f>VLOOKUP(A23,Dataset!A19:X57,22,0)</f>
        <v>79.400000000000006</v>
      </c>
    </row>
    <row r="24" spans="1:6" ht="14.4" x14ac:dyDescent="0.3">
      <c r="A24" s="7" t="s">
        <v>32</v>
      </c>
      <c r="B24" s="11">
        <f>VLOOKUP(A24,Dataset!A20:X58,7,0)</f>
        <v>-1</v>
      </c>
      <c r="C24" s="11">
        <f>VLOOKUP(A24,Dataset!A19:X58,14,0)</f>
        <v>-1</v>
      </c>
      <c r="D24" s="11">
        <f>VLOOKUP(A24,Dataset!A20:X58,18,0)</f>
        <v>-1</v>
      </c>
      <c r="E24" s="11">
        <f>VLOOKUP(A24,Dataset!A20:X58,20,0)</f>
        <v>-1</v>
      </c>
      <c r="F24" s="8">
        <f>VLOOKUP(A24,Dataset!A20:X58,22,0)</f>
        <v>-1</v>
      </c>
    </row>
    <row r="25" spans="1:6" ht="14.4" x14ac:dyDescent="0.3">
      <c r="A25" s="7" t="s">
        <v>34</v>
      </c>
      <c r="B25" s="11">
        <f>VLOOKUP(A25,Dataset!A21:X59,7,0)</f>
        <v>43.3</v>
      </c>
      <c r="C25" s="11">
        <f>VLOOKUP(A25,Dataset!A20:X59,14,0)</f>
        <v>128.6</v>
      </c>
      <c r="D25" s="11">
        <f>VLOOKUP(A25,Dataset!A21:X59,18,0)</f>
        <v>79.400000000000006</v>
      </c>
      <c r="E25" s="11">
        <f>VLOOKUP(A25,Dataset!A21:X59,20,0)</f>
        <v>160.9</v>
      </c>
      <c r="F25" s="8">
        <f>VLOOKUP(A25,Dataset!A21:X59,22,0)</f>
        <v>79.400000000000006</v>
      </c>
    </row>
    <row r="26" spans="1:6" ht="14.4" x14ac:dyDescent="0.3">
      <c r="A26" s="7" t="s">
        <v>37</v>
      </c>
      <c r="B26" s="11">
        <f>VLOOKUP(A26,Dataset!A22:X60,7,0)</f>
        <v>49.1</v>
      </c>
      <c r="C26" s="11">
        <f>VLOOKUP(A26,Dataset!A21:X60,14,0)</f>
        <v>146.80000000000001</v>
      </c>
      <c r="D26" s="11">
        <f>VLOOKUP(A26,Dataset!A22:X60,18,0)</f>
        <v>90.9</v>
      </c>
      <c r="E26" s="11">
        <f>VLOOKUP(A26,Dataset!A22:X60,20,0)</f>
        <v>183.5</v>
      </c>
      <c r="F26" s="8">
        <f>VLOOKUP(A26,Dataset!A22:X60,22,0)</f>
        <v>90.9</v>
      </c>
    </row>
    <row r="27" spans="1:6" ht="14.4" x14ac:dyDescent="0.3">
      <c r="A27" s="7" t="s">
        <v>39</v>
      </c>
      <c r="B27" s="11">
        <f>VLOOKUP(A27,Dataset!A23:X61,7,0)</f>
        <v>51.8</v>
      </c>
      <c r="C27" s="11">
        <f>VLOOKUP(A27,Dataset!A22:X61,14,0)</f>
        <v>156.4</v>
      </c>
      <c r="D27" s="11">
        <f>VLOOKUP(A27,Dataset!A23:X61,18,0)</f>
        <v>93.1</v>
      </c>
      <c r="E27" s="11">
        <f>VLOOKUP(A27,Dataset!A23:X61,20,0)</f>
        <v>188.1</v>
      </c>
      <c r="F27" s="8">
        <f>VLOOKUP(A27,Dataset!A23:X61,22,0)</f>
        <v>93.1</v>
      </c>
    </row>
    <row r="28" spans="1:6" ht="14.4" x14ac:dyDescent="0.3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4.4" x14ac:dyDescent="0.3">
      <c r="A29" s="17" t="s">
        <v>83</v>
      </c>
      <c r="B29" s="29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4.4" x14ac:dyDescent="0.3">
      <c r="A30" s="17" t="s">
        <v>84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8" zoomScaleNormal="100" workbookViewId="0">
      <selection activeCell="E8" sqref="E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 t="s">
        <v>177</v>
      </c>
    </row>
    <row r="6" spans="1:10" ht="18" x14ac:dyDescent="0.35">
      <c r="A6" s="41" t="s">
        <v>153</v>
      </c>
      <c r="B6" s="38" t="s">
        <v>178</v>
      </c>
    </row>
    <row r="7" spans="1:10" ht="18" x14ac:dyDescent="0.35">
      <c r="A7" s="41"/>
      <c r="B7" s="38"/>
    </row>
    <row r="9" spans="1:10" ht="23.4" x14ac:dyDescent="0.45">
      <c r="A9" s="16" t="s">
        <v>165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3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FIND("-", A16, FIND("-", A16, FIND("-", A16, FIND("-", A16) + 1) + 1) + 1))</f>
        <v>24</v>
      </c>
    </row>
    <row r="17" spans="1:6" x14ac:dyDescent="0.3">
      <c r="A17" s="7" t="s">
        <v>122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LEN(A17) - FIND("-", A17, FIND("-", A17, FIND("-", A17, FIND("-", A17) + 1) + 1) + 1))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6" t="s">
        <v>162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>
        <f>SUM(IFERROR(Sales, 20))</f>
        <v>20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>
        <f>SUM(IFERROR(Sales, 20))</f>
        <v>20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154</v>
      </c>
      <c r="C17" s="15">
        <v>150</v>
      </c>
    </row>
    <row r="18" spans="1:3" ht="14.4" x14ac:dyDescent="0.3">
      <c r="A18" s="30">
        <v>44933</v>
      </c>
      <c r="B18" s="15" t="s">
        <v>155</v>
      </c>
      <c r="C18" s="15">
        <v>80</v>
      </c>
    </row>
    <row r="19" spans="1:3" ht="14.4" x14ac:dyDescent="0.3">
      <c r="A19" s="30">
        <v>44934</v>
      </c>
      <c r="B19" s="15" t="s">
        <v>156</v>
      </c>
      <c r="C19" s="15">
        <f>SUM(IFERROR(Sales, 20))</f>
        <v>20</v>
      </c>
    </row>
    <row r="20" spans="1:3" ht="14.4" x14ac:dyDescent="0.3">
      <c r="A20" s="30">
        <v>44935</v>
      </c>
      <c r="B20" s="15" t="s">
        <v>157</v>
      </c>
      <c r="C20" s="15">
        <v>30</v>
      </c>
    </row>
    <row r="21" spans="1:3" ht="14.4" x14ac:dyDescent="0.3">
      <c r="A21" s="30">
        <v>44936</v>
      </c>
      <c r="B21" s="15" t="s">
        <v>158</v>
      </c>
      <c r="C21" s="15">
        <f>SUM(IFERROR(Sales, 20))</f>
        <v>20</v>
      </c>
    </row>
    <row r="22" spans="1:3" ht="14.4" x14ac:dyDescent="0.3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4149-B223-4F19-8A00-A73055B04E91}">
  <dimension ref="A1:N35"/>
  <sheetViews>
    <sheetView topLeftCell="A6" workbookViewId="0">
      <selection activeCell="B5" sqref="B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 t="s">
        <v>181</v>
      </c>
    </row>
    <row r="5" spans="1:14" ht="18" x14ac:dyDescent="0.35">
      <c r="A5" s="41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 x14ac:dyDescent="0.45">
      <c r="A21" s="16" t="s">
        <v>168</v>
      </c>
    </row>
    <row r="22" spans="1:14" ht="14.4" x14ac:dyDescent="0.3">
      <c r="A22" s="13" t="s">
        <v>100</v>
      </c>
      <c r="B22" s="15" t="s">
        <v>101</v>
      </c>
      <c r="C22" s="44" t="s">
        <v>103</v>
      </c>
      <c r="I22" s="2" t="str">
        <f t="shared" ref="I22:I34" si="0">VLOOKUP(A23,$M$9:$N$18,2,0)</f>
        <v>A</v>
      </c>
    </row>
    <row r="23" spans="1:14" ht="14.4" x14ac:dyDescent="0.3">
      <c r="A23" s="7">
        <v>10100</v>
      </c>
      <c r="B23" s="11">
        <v>10102</v>
      </c>
      <c r="C23" s="35">
        <f>E23*F23</f>
        <v>-95</v>
      </c>
      <c r="D23" s="2" t="str">
        <f t="shared" ref="D23:D35" si="1">VLOOKUP(B23,$M$9:$N$18,2,0)</f>
        <v>B</v>
      </c>
      <c r="E23" s="2">
        <f>VLOOKUP(I22,$A$9:$J$18,2,0)</f>
        <v>-1</v>
      </c>
      <c r="F23" s="2">
        <f t="shared" ref="F23:F35" si="2">VLOOKUP(D23,$A$9:$J$18,2,0)</f>
        <v>95</v>
      </c>
      <c r="I23" s="2" t="str">
        <f t="shared" si="0"/>
        <v>A</v>
      </c>
    </row>
    <row r="24" spans="1:14" ht="14.4" x14ac:dyDescent="0.3">
      <c r="A24" s="7">
        <v>10100</v>
      </c>
      <c r="B24" s="11">
        <v>10104</v>
      </c>
      <c r="C24" s="35">
        <f t="shared" ref="C24:C35" si="3">E24*F24</f>
        <v>1</v>
      </c>
      <c r="D24" s="2" t="str">
        <f t="shared" si="1"/>
        <v>C</v>
      </c>
      <c r="E24" s="2">
        <f t="shared" ref="E24:E35" si="4">VLOOKUP(I23,$A$9:$J$18,2,0)</f>
        <v>-1</v>
      </c>
      <c r="F24" s="2">
        <f t="shared" si="2"/>
        <v>-1</v>
      </c>
      <c r="I24" s="2" t="str">
        <f t="shared" si="0"/>
        <v>E</v>
      </c>
    </row>
    <row r="25" spans="1:14" ht="14.4" x14ac:dyDescent="0.3">
      <c r="A25" s="7">
        <v>10108</v>
      </c>
      <c r="B25" s="11">
        <v>10102</v>
      </c>
      <c r="C25" s="35">
        <f t="shared" si="3"/>
        <v>24225</v>
      </c>
      <c r="D25" s="2" t="str">
        <f t="shared" si="1"/>
        <v>B</v>
      </c>
      <c r="E25" s="2">
        <f t="shared" si="4"/>
        <v>255</v>
      </c>
      <c r="F25" s="2">
        <f t="shared" si="2"/>
        <v>95</v>
      </c>
      <c r="I25" s="2" t="str">
        <f t="shared" si="0"/>
        <v>A</v>
      </c>
    </row>
    <row r="26" spans="1:14" ht="14.4" x14ac:dyDescent="0.3">
      <c r="A26" s="7">
        <v>10100</v>
      </c>
      <c r="B26" s="11">
        <v>10106</v>
      </c>
      <c r="C26" s="35">
        <f t="shared" si="3"/>
        <v>-185</v>
      </c>
      <c r="D26" s="2" t="str">
        <f t="shared" si="1"/>
        <v>D</v>
      </c>
      <c r="E26" s="2">
        <f t="shared" si="4"/>
        <v>-1</v>
      </c>
      <c r="F26" s="2">
        <f t="shared" si="2"/>
        <v>185</v>
      </c>
      <c r="I26" s="2" t="str">
        <f t="shared" si="0"/>
        <v>E</v>
      </c>
    </row>
    <row r="27" spans="1:14" ht="14.4" x14ac:dyDescent="0.3">
      <c r="A27" s="7">
        <v>10108</v>
      </c>
      <c r="B27" s="11">
        <v>10110</v>
      </c>
      <c r="C27" s="35">
        <f t="shared" si="3"/>
        <v>77775</v>
      </c>
      <c r="D27" s="2" t="str">
        <f t="shared" si="1"/>
        <v>F</v>
      </c>
      <c r="E27" s="2">
        <f t="shared" si="4"/>
        <v>255</v>
      </c>
      <c r="F27" s="2">
        <f t="shared" si="2"/>
        <v>305</v>
      </c>
      <c r="I27" s="2" t="str">
        <f t="shared" si="0"/>
        <v>B</v>
      </c>
    </row>
    <row r="28" spans="1:14" ht="14.4" x14ac:dyDescent="0.3">
      <c r="A28" s="7">
        <v>10102</v>
      </c>
      <c r="B28" s="11">
        <v>10104</v>
      </c>
      <c r="C28" s="35">
        <f t="shared" si="3"/>
        <v>-95</v>
      </c>
      <c r="D28" s="2" t="str">
        <f t="shared" si="1"/>
        <v>C</v>
      </c>
      <c r="E28" s="2">
        <f t="shared" si="4"/>
        <v>95</v>
      </c>
      <c r="F28" s="2">
        <f t="shared" si="2"/>
        <v>-1</v>
      </c>
      <c r="I28" s="2" t="str">
        <f t="shared" si="0"/>
        <v>D</v>
      </c>
    </row>
    <row r="29" spans="1:14" ht="14.4" x14ac:dyDescent="0.3">
      <c r="A29" s="7">
        <v>10106</v>
      </c>
      <c r="B29" s="11">
        <v>10108</v>
      </c>
      <c r="C29" s="35">
        <f t="shared" si="3"/>
        <v>47175</v>
      </c>
      <c r="D29" s="2" t="str">
        <f t="shared" si="1"/>
        <v>E</v>
      </c>
      <c r="E29" s="2">
        <f t="shared" si="4"/>
        <v>185</v>
      </c>
      <c r="F29" s="2">
        <f t="shared" si="2"/>
        <v>255</v>
      </c>
      <c r="I29" s="2" t="str">
        <f t="shared" si="0"/>
        <v>B</v>
      </c>
    </row>
    <row r="30" spans="1:14" ht="14.4" x14ac:dyDescent="0.3">
      <c r="A30" s="7">
        <v>10102</v>
      </c>
      <c r="B30" s="11">
        <v>10106</v>
      </c>
      <c r="C30" s="35">
        <f t="shared" si="3"/>
        <v>17575</v>
      </c>
      <c r="D30" s="2" t="str">
        <f t="shared" si="1"/>
        <v>D</v>
      </c>
      <c r="E30" s="2">
        <f t="shared" si="4"/>
        <v>95</v>
      </c>
      <c r="F30" s="2">
        <f t="shared" si="2"/>
        <v>185</v>
      </c>
      <c r="I30" s="2" t="str">
        <f t="shared" si="0"/>
        <v>F</v>
      </c>
    </row>
    <row r="31" spans="1:14" ht="14.4" x14ac:dyDescent="0.3">
      <c r="A31" s="7">
        <v>10110</v>
      </c>
      <c r="B31" s="11">
        <v>10114</v>
      </c>
      <c r="C31" s="35">
        <f>E31*F31</f>
        <v>146400</v>
      </c>
      <c r="D31" s="2" t="str">
        <f t="shared" si="1"/>
        <v>H</v>
      </c>
      <c r="E31" s="2">
        <f t="shared" si="4"/>
        <v>305</v>
      </c>
      <c r="F31" s="2">
        <f t="shared" si="2"/>
        <v>480</v>
      </c>
      <c r="I31" s="2" t="str">
        <f t="shared" si="0"/>
        <v>C</v>
      </c>
    </row>
    <row r="32" spans="1:14" ht="14.4" x14ac:dyDescent="0.3">
      <c r="A32" s="7">
        <v>10104</v>
      </c>
      <c r="B32" s="11">
        <v>10106</v>
      </c>
      <c r="C32" s="35">
        <f t="shared" si="3"/>
        <v>-185</v>
      </c>
      <c r="D32" s="2" t="str">
        <f t="shared" si="1"/>
        <v>D</v>
      </c>
      <c r="E32" s="2">
        <f t="shared" si="4"/>
        <v>-1</v>
      </c>
      <c r="F32" s="2">
        <f t="shared" si="2"/>
        <v>185</v>
      </c>
      <c r="I32" s="2" t="str">
        <f t="shared" si="0"/>
        <v>F</v>
      </c>
    </row>
    <row r="33" spans="1:9" ht="14.4" x14ac:dyDescent="0.3">
      <c r="A33" s="7">
        <v>10110</v>
      </c>
      <c r="B33" s="11">
        <v>10112</v>
      </c>
      <c r="C33" s="35">
        <f t="shared" si="3"/>
        <v>126575</v>
      </c>
      <c r="D33" s="2" t="str">
        <f t="shared" si="1"/>
        <v>G</v>
      </c>
      <c r="E33" s="2">
        <f t="shared" si="4"/>
        <v>305</v>
      </c>
      <c r="F33" s="2">
        <f t="shared" si="2"/>
        <v>415</v>
      </c>
      <c r="I33" s="2" t="str">
        <f t="shared" si="0"/>
        <v>A</v>
      </c>
    </row>
    <row r="34" spans="1:9" ht="14.4" x14ac:dyDescent="0.3">
      <c r="A34" s="7">
        <v>10100</v>
      </c>
      <c r="B34" s="11">
        <v>10114</v>
      </c>
      <c r="C34" s="35">
        <f t="shared" si="3"/>
        <v>-480</v>
      </c>
      <c r="D34" s="2" t="str">
        <f t="shared" si="1"/>
        <v>H</v>
      </c>
      <c r="E34" s="2">
        <f t="shared" si="4"/>
        <v>-1</v>
      </c>
      <c r="F34" s="2">
        <f t="shared" si="2"/>
        <v>480</v>
      </c>
      <c r="I34" s="2" t="str">
        <f t="shared" si="0"/>
        <v>G</v>
      </c>
    </row>
    <row r="35" spans="1:9" ht="14.4" x14ac:dyDescent="0.3">
      <c r="A35" s="9">
        <v>10112</v>
      </c>
      <c r="B35" s="12">
        <v>10116</v>
      </c>
      <c r="C35" s="45">
        <f t="shared" si="3"/>
        <v>217875</v>
      </c>
      <c r="D35" s="2" t="str">
        <f t="shared" si="1"/>
        <v>I</v>
      </c>
      <c r="E35" s="2">
        <f t="shared" si="4"/>
        <v>415</v>
      </c>
      <c r="F35" s="2">
        <f t="shared" si="2"/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BUSIREDDYGARI SAI CHARAN</cp:lastModifiedBy>
  <dcterms:created xsi:type="dcterms:W3CDTF">2015-02-10T17:33:11Z</dcterms:created>
  <dcterms:modified xsi:type="dcterms:W3CDTF">2023-12-10T17:58:57Z</dcterms:modified>
</cp:coreProperties>
</file>